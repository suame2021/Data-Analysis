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ynet PC\Desktop\Potfolio\Excel\Templates\"/>
    </mc:Choice>
  </mc:AlternateContent>
  <xr:revisionPtr revIDLastSave="0" documentId="13_ncr:1_{1DD8D0FB-3B64-4B79-9D20-DD9FA922E7A3}" xr6:coauthVersionLast="47" xr6:coauthVersionMax="47" xr10:uidLastSave="{00000000-0000-0000-0000-000000000000}"/>
  <bookViews>
    <workbookView xWindow="-108" yWindow="-108" windowWidth="23256" windowHeight="12456" tabRatio="606" xr2:uid="{55BF0818-95F1-45C0-A6FB-934B485E77C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G10" i="1"/>
  <c r="H10" i="1" s="1"/>
  <c r="N15" i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4" i="1"/>
  <c r="P4" i="1" s="1"/>
  <c r="G4" i="1"/>
  <c r="H4" i="1" s="1"/>
  <c r="F15" i="1"/>
  <c r="G9" i="1"/>
  <c r="H9" i="1" s="1"/>
  <c r="G5" i="1"/>
  <c r="G6" i="1"/>
  <c r="H6" i="1" s="1"/>
  <c r="G7" i="1"/>
  <c r="H7" i="1" s="1"/>
  <c r="G8" i="1"/>
  <c r="H8" i="1" s="1"/>
  <c r="P15" i="1" l="1"/>
  <c r="N16" i="1" s="1"/>
  <c r="H15" i="1"/>
  <c r="F16" i="1" s="1"/>
  <c r="H19" i="1" l="1"/>
</calcChain>
</file>

<file path=xl/sharedStrings.xml><?xml version="1.0" encoding="utf-8"?>
<sst xmlns="http://schemas.openxmlformats.org/spreadsheetml/2006/main" count="50" uniqueCount="30">
  <si>
    <t>FIRST SEMESTER</t>
  </si>
  <si>
    <t>COURSE CODE</t>
  </si>
  <si>
    <t>GRADE</t>
  </si>
  <si>
    <t>UNIT</t>
  </si>
  <si>
    <t>S/N</t>
  </si>
  <si>
    <t>A</t>
  </si>
  <si>
    <t>B</t>
  </si>
  <si>
    <t>TOTAL</t>
  </si>
  <si>
    <t>CGPA</t>
  </si>
  <si>
    <t>SECOND SEMESTER</t>
  </si>
  <si>
    <t>GRADEPOINT</t>
  </si>
  <si>
    <t>UNITGRADEP</t>
  </si>
  <si>
    <t>GPA</t>
  </si>
  <si>
    <t>GST707</t>
  </si>
  <si>
    <t>CIT703</t>
  </si>
  <si>
    <t>CIT711</t>
  </si>
  <si>
    <t>C</t>
  </si>
  <si>
    <t>CIT735</t>
  </si>
  <si>
    <t>F</t>
  </si>
  <si>
    <t>CIT701</t>
  </si>
  <si>
    <t>CIT759</t>
  </si>
  <si>
    <t>CIT753</t>
  </si>
  <si>
    <t>CIT799</t>
  </si>
  <si>
    <t>CIT736</t>
  </si>
  <si>
    <t>CIT742</t>
  </si>
  <si>
    <t>CIT756</t>
  </si>
  <si>
    <t>CIT734</t>
  </si>
  <si>
    <t>CIT722</t>
  </si>
  <si>
    <t>CIT752</t>
  </si>
  <si>
    <t>CGPA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</si>
</sst>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8" borderId="1" xfId="0" applyFont="1" applyFill="1" applyBorder="1" applyProtection="1">
      <protection locked="0"/>
    </xf>
    <xf numFmtId="0" fontId="0" fillId="0" borderId="0" xfId="0" applyProtection="1">
      <protection hidden="1"/>
    </xf>
    <xf numFmtId="0" fontId="0" fillId="6" borderId="1" xfId="0" applyFill="1" applyBorder="1" applyProtection="1">
      <protection hidden="1"/>
    </xf>
    <xf numFmtId="0" fontId="1" fillId="4" borderId="1" xfId="0" applyFont="1" applyFill="1" applyBorder="1" applyProtection="1">
      <protection hidden="1"/>
    </xf>
    <xf numFmtId="0" fontId="2" fillId="8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0" fillId="4" borderId="1" xfId="0" applyFill="1" applyBorder="1" applyProtection="1">
      <protection hidden="1"/>
    </xf>
    <xf numFmtId="0" fontId="3" fillId="5" borderId="1" xfId="0" applyFont="1" applyFill="1" applyBorder="1" applyProtection="1">
      <protection hidden="1"/>
    </xf>
    <xf numFmtId="2" fontId="3" fillId="5" borderId="1" xfId="0" applyNumberFormat="1" applyFont="1" applyFill="1" applyBorder="1" applyProtection="1">
      <protection hidden="1"/>
    </xf>
    <xf numFmtId="0" fontId="3" fillId="7" borderId="1" xfId="0" applyFont="1" applyFill="1" applyBorder="1" applyProtection="1">
      <protection hidden="1"/>
    </xf>
    <xf numFmtId="2" fontId="3" fillId="7" borderId="1" xfId="0" applyNumberFormat="1" applyFont="1" applyFill="1" applyBorder="1" applyProtection="1">
      <protection hidden="1"/>
    </xf>
    <xf numFmtId="0" fontId="2" fillId="9" borderId="1" xfId="0" applyFont="1" applyFill="1" applyBorder="1" applyProtection="1">
      <protection hidden="1"/>
    </xf>
    <xf numFmtId="2" fontId="2" fillId="9" borderId="1" xfId="0" applyNumberFormat="1" applyFont="1" applyFill="1" applyBorder="1" applyProtection="1">
      <protection hidden="1"/>
    </xf>
    <xf numFmtId="0" fontId="3" fillId="3" borderId="1" xfId="0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3" fillId="3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23EBA-889F-4008-A795-1D4BB04009B2}">
  <sheetPr codeName="Sheet1"/>
  <dimension ref="C1:P21"/>
  <sheetViews>
    <sheetView tabSelected="1" workbookViewId="0">
      <selection activeCell="G7" sqref="G7"/>
    </sheetView>
  </sheetViews>
  <sheetFormatPr defaultRowHeight="14.4" x14ac:dyDescent="0.3"/>
  <cols>
    <col min="1" max="3" width="8.88671875" style="2"/>
    <col min="4" max="4" width="13.21875" style="2" customWidth="1"/>
    <col min="5" max="5" width="11.6640625" style="2" customWidth="1"/>
    <col min="6" max="6" width="12.44140625" style="2" bestFit="1" customWidth="1"/>
    <col min="7" max="7" width="12.33203125" style="2" bestFit="1" customWidth="1"/>
    <col min="8" max="8" width="15.6640625" style="2" bestFit="1" customWidth="1"/>
    <col min="9" max="9" width="3.33203125" style="2" customWidth="1"/>
    <col min="10" max="10" width="2.77734375" style="2" customWidth="1"/>
    <col min="11" max="11" width="8.88671875" style="2"/>
    <col min="12" max="12" width="13.109375" style="2" bestFit="1" customWidth="1"/>
    <col min="13" max="13" width="8.88671875" style="2"/>
    <col min="14" max="14" width="12.5546875" style="2" bestFit="1" customWidth="1"/>
    <col min="15" max="15" width="11.44140625" style="2" bestFit="1" customWidth="1"/>
    <col min="16" max="16" width="16.44140625" style="2" bestFit="1" customWidth="1"/>
    <col min="17" max="16384" width="8.88671875" style="2"/>
  </cols>
  <sheetData>
    <row r="1" spans="3:16" ht="21" x14ac:dyDescent="0.4">
      <c r="C1" s="18" t="s">
        <v>29</v>
      </c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3:16" ht="18" x14ac:dyDescent="0.35">
      <c r="C2" s="14" t="s">
        <v>0</v>
      </c>
      <c r="D2" s="15"/>
      <c r="E2" s="15"/>
      <c r="F2" s="15"/>
      <c r="G2" s="15"/>
      <c r="H2" s="16"/>
      <c r="I2" s="3"/>
      <c r="J2" s="3"/>
      <c r="K2" s="17" t="s">
        <v>9</v>
      </c>
      <c r="L2" s="15"/>
      <c r="M2" s="15"/>
      <c r="N2" s="15"/>
      <c r="O2" s="15"/>
      <c r="P2" s="15"/>
    </row>
    <row r="3" spans="3:16" x14ac:dyDescent="0.3">
      <c r="C3" s="4" t="s">
        <v>4</v>
      </c>
      <c r="D3" s="4" t="s">
        <v>1</v>
      </c>
      <c r="E3" s="4" t="s">
        <v>2</v>
      </c>
      <c r="F3" s="4" t="s">
        <v>3</v>
      </c>
      <c r="G3" s="4" t="s">
        <v>10</v>
      </c>
      <c r="H3" s="4" t="s">
        <v>11</v>
      </c>
      <c r="I3" s="3"/>
      <c r="J3" s="3"/>
      <c r="K3" s="4" t="s">
        <v>4</v>
      </c>
      <c r="L3" s="4" t="s">
        <v>1</v>
      </c>
      <c r="M3" s="4" t="s">
        <v>2</v>
      </c>
      <c r="N3" s="4" t="s">
        <v>3</v>
      </c>
      <c r="O3" s="4" t="s">
        <v>10</v>
      </c>
      <c r="P3" s="4" t="s">
        <v>11</v>
      </c>
    </row>
    <row r="4" spans="3:16" ht="15.6" x14ac:dyDescent="0.3">
      <c r="C4" s="5">
        <v>1</v>
      </c>
      <c r="D4" s="1" t="s">
        <v>13</v>
      </c>
      <c r="E4" s="1" t="s">
        <v>5</v>
      </c>
      <c r="F4" s="1">
        <v>0</v>
      </c>
      <c r="G4" s="5">
        <f>IF(E4="A",5,IF(E4="B",4,IF(E4="C",3,IF(E4="D",2,IF(E4="E",1,IF(E4="F",0))))))</f>
        <v>5</v>
      </c>
      <c r="H4" s="5">
        <f>G4*F4</f>
        <v>0</v>
      </c>
      <c r="I4" s="3"/>
      <c r="J4" s="3"/>
      <c r="K4" s="5">
        <v>1</v>
      </c>
      <c r="L4" s="1" t="s">
        <v>22</v>
      </c>
      <c r="M4" s="1" t="s">
        <v>6</v>
      </c>
      <c r="N4" s="1">
        <v>6</v>
      </c>
      <c r="O4" s="5">
        <f>IF(M4="A",5,IF(M4="B",4,IF(M4="C",3,IF(M4="D",2,IF(M4="E",1,IF(M4="F",0))))))</f>
        <v>4</v>
      </c>
      <c r="P4" s="5">
        <f>O4*N4</f>
        <v>24</v>
      </c>
    </row>
    <row r="5" spans="3:16" ht="15.6" x14ac:dyDescent="0.3">
      <c r="C5" s="5">
        <v>2</v>
      </c>
      <c r="D5" s="1" t="s">
        <v>14</v>
      </c>
      <c r="E5" s="1" t="s">
        <v>6</v>
      </c>
      <c r="F5" s="1">
        <v>3</v>
      </c>
      <c r="G5" s="5">
        <f t="shared" ref="G5:G10" si="0">IF(E5="A",5,IF(E5="B",4,IF(E5="C",3,IF(E5="D",2,IF(E5="E",1,IF(E5="F",0))))))</f>
        <v>4</v>
      </c>
      <c r="H5" s="5">
        <f t="shared" ref="H5:H10" si="1">G5*F5</f>
        <v>12</v>
      </c>
      <c r="I5" s="3"/>
      <c r="J5" s="3"/>
      <c r="K5" s="5">
        <v>2</v>
      </c>
      <c r="L5" s="1" t="s">
        <v>23</v>
      </c>
      <c r="M5" s="1" t="s">
        <v>6</v>
      </c>
      <c r="N5" s="1">
        <v>2</v>
      </c>
      <c r="O5" s="5">
        <f t="shared" ref="O5:O13" si="2">IF(M5="A",5,IF(M5="B",4,IF(M5="C",3,IF(M5="D",2,IF(M5="E",1,IF(M5="F",0))))))</f>
        <v>4</v>
      </c>
      <c r="P5" s="5">
        <f t="shared" ref="P5:P13" si="3">O5*N5</f>
        <v>8</v>
      </c>
    </row>
    <row r="6" spans="3:16" ht="15.6" x14ac:dyDescent="0.3">
      <c r="C6" s="5">
        <v>3</v>
      </c>
      <c r="D6" s="1" t="s">
        <v>15</v>
      </c>
      <c r="E6" s="1" t="s">
        <v>16</v>
      </c>
      <c r="F6" s="1">
        <v>3</v>
      </c>
      <c r="G6" s="5">
        <f t="shared" si="0"/>
        <v>3</v>
      </c>
      <c r="H6" s="5">
        <f t="shared" si="1"/>
        <v>9</v>
      </c>
      <c r="I6" s="3"/>
      <c r="J6" s="3"/>
      <c r="K6" s="5">
        <v>3</v>
      </c>
      <c r="L6" s="1" t="s">
        <v>24</v>
      </c>
      <c r="M6" s="1" t="s">
        <v>5</v>
      </c>
      <c r="N6" s="1">
        <v>3</v>
      </c>
      <c r="O6" s="5">
        <f t="shared" si="2"/>
        <v>5</v>
      </c>
      <c r="P6" s="5">
        <f t="shared" si="3"/>
        <v>15</v>
      </c>
    </row>
    <row r="7" spans="3:16" ht="15.6" x14ac:dyDescent="0.3">
      <c r="C7" s="5">
        <v>4</v>
      </c>
      <c r="D7" s="1" t="s">
        <v>17</v>
      </c>
      <c r="E7" s="1" t="s">
        <v>18</v>
      </c>
      <c r="F7" s="1">
        <v>3</v>
      </c>
      <c r="G7" s="5">
        <f t="shared" si="0"/>
        <v>0</v>
      </c>
      <c r="H7" s="5">
        <f t="shared" si="1"/>
        <v>0</v>
      </c>
      <c r="I7" s="3"/>
      <c r="J7" s="3"/>
      <c r="K7" s="5">
        <v>4</v>
      </c>
      <c r="L7" s="1" t="s">
        <v>17</v>
      </c>
      <c r="M7" s="1" t="s">
        <v>6</v>
      </c>
      <c r="N7" s="1">
        <v>3</v>
      </c>
      <c r="O7" s="5">
        <f t="shared" si="2"/>
        <v>4</v>
      </c>
      <c r="P7" s="5">
        <f t="shared" si="3"/>
        <v>12</v>
      </c>
    </row>
    <row r="8" spans="3:16" ht="15.6" x14ac:dyDescent="0.3">
      <c r="C8" s="5">
        <v>5</v>
      </c>
      <c r="D8" s="1" t="s">
        <v>19</v>
      </c>
      <c r="E8" s="1" t="s">
        <v>6</v>
      </c>
      <c r="F8" s="1">
        <v>3</v>
      </c>
      <c r="G8" s="5">
        <f t="shared" si="0"/>
        <v>4</v>
      </c>
      <c r="H8" s="5">
        <f t="shared" si="1"/>
        <v>12</v>
      </c>
      <c r="I8" s="3"/>
      <c r="J8" s="3"/>
      <c r="K8" s="5">
        <v>5</v>
      </c>
      <c r="L8" s="1" t="s">
        <v>25</v>
      </c>
      <c r="M8" s="1" t="s">
        <v>5</v>
      </c>
      <c r="N8" s="1">
        <v>2</v>
      </c>
      <c r="O8" s="5">
        <f t="shared" si="2"/>
        <v>5</v>
      </c>
      <c r="P8" s="5">
        <f t="shared" si="3"/>
        <v>10</v>
      </c>
    </row>
    <row r="9" spans="3:16" ht="15.6" x14ac:dyDescent="0.3">
      <c r="C9" s="5">
        <v>6</v>
      </c>
      <c r="D9" s="1" t="s">
        <v>20</v>
      </c>
      <c r="E9" s="1" t="s">
        <v>5</v>
      </c>
      <c r="F9" s="1">
        <v>2</v>
      </c>
      <c r="G9" s="5">
        <f t="shared" si="0"/>
        <v>5</v>
      </c>
      <c r="H9" s="5">
        <f>G9*F9</f>
        <v>10</v>
      </c>
      <c r="I9" s="3"/>
      <c r="J9" s="3"/>
      <c r="K9" s="5">
        <v>6</v>
      </c>
      <c r="L9" s="1" t="s">
        <v>26</v>
      </c>
      <c r="M9" s="1" t="s">
        <v>5</v>
      </c>
      <c r="N9" s="1">
        <v>3</v>
      </c>
      <c r="O9" s="5">
        <f t="shared" si="2"/>
        <v>5</v>
      </c>
      <c r="P9" s="5">
        <f t="shared" si="3"/>
        <v>15</v>
      </c>
    </row>
    <row r="10" spans="3:16" ht="15.6" x14ac:dyDescent="0.3">
      <c r="C10" s="5">
        <v>7</v>
      </c>
      <c r="D10" s="1" t="s">
        <v>21</v>
      </c>
      <c r="E10" s="1" t="s">
        <v>5</v>
      </c>
      <c r="F10" s="1">
        <v>3</v>
      </c>
      <c r="G10" s="5">
        <f t="shared" si="0"/>
        <v>5</v>
      </c>
      <c r="H10" s="5">
        <f t="shared" si="1"/>
        <v>15</v>
      </c>
      <c r="I10" s="3"/>
      <c r="J10" s="3"/>
      <c r="K10" s="5">
        <v>7</v>
      </c>
      <c r="L10" s="1" t="s">
        <v>27</v>
      </c>
      <c r="M10" s="1" t="s">
        <v>6</v>
      </c>
      <c r="N10" s="1">
        <v>3</v>
      </c>
      <c r="O10" s="5">
        <f t="shared" si="2"/>
        <v>4</v>
      </c>
      <c r="P10" s="5">
        <f t="shared" si="3"/>
        <v>12</v>
      </c>
    </row>
    <row r="11" spans="3:16" ht="15.6" x14ac:dyDescent="0.3">
      <c r="C11" s="5">
        <v>8</v>
      </c>
      <c r="D11" s="1"/>
      <c r="E11" s="1"/>
      <c r="F11" s="1"/>
      <c r="G11" s="5"/>
      <c r="H11" s="5"/>
      <c r="I11" s="3"/>
      <c r="J11" s="3"/>
      <c r="K11" s="5">
        <v>8</v>
      </c>
      <c r="L11" s="1" t="s">
        <v>28</v>
      </c>
      <c r="M11" s="1" t="s">
        <v>16</v>
      </c>
      <c r="N11" s="1">
        <v>2</v>
      </c>
      <c r="O11" s="5">
        <f t="shared" si="2"/>
        <v>3</v>
      </c>
      <c r="P11" s="5">
        <f t="shared" si="3"/>
        <v>6</v>
      </c>
    </row>
    <row r="12" spans="3:16" ht="15.6" x14ac:dyDescent="0.3">
      <c r="C12" s="5">
        <v>9</v>
      </c>
      <c r="D12" s="1"/>
      <c r="E12" s="1"/>
      <c r="F12" s="1"/>
      <c r="G12" s="5"/>
      <c r="H12" s="5"/>
      <c r="I12" s="3"/>
      <c r="J12" s="3"/>
      <c r="K12" s="5">
        <v>9</v>
      </c>
      <c r="L12" s="1"/>
      <c r="M12" s="1"/>
      <c r="N12" s="1"/>
      <c r="O12" s="5" t="b">
        <f t="shared" si="2"/>
        <v>0</v>
      </c>
      <c r="P12" s="5">
        <f t="shared" si="3"/>
        <v>0</v>
      </c>
    </row>
    <row r="13" spans="3:16" ht="15.6" x14ac:dyDescent="0.3">
      <c r="C13" s="5">
        <v>10</v>
      </c>
      <c r="D13" s="1"/>
      <c r="E13" s="1"/>
      <c r="F13" s="1"/>
      <c r="G13" s="5"/>
      <c r="H13" s="5"/>
      <c r="I13" s="3"/>
      <c r="J13" s="3"/>
      <c r="K13" s="5">
        <v>10</v>
      </c>
      <c r="L13" s="1"/>
      <c r="M13" s="1"/>
      <c r="N13" s="1"/>
      <c r="O13" s="5" t="b">
        <f t="shared" si="2"/>
        <v>0</v>
      </c>
      <c r="P13" s="5">
        <f t="shared" si="3"/>
        <v>0</v>
      </c>
    </row>
    <row r="14" spans="3:16" ht="15.6" x14ac:dyDescent="0.3">
      <c r="C14" s="5"/>
      <c r="D14" s="1"/>
      <c r="E14" s="1"/>
      <c r="F14" s="1"/>
      <c r="G14" s="5"/>
      <c r="H14" s="5"/>
      <c r="I14" s="3"/>
      <c r="J14" s="3"/>
      <c r="K14" s="5"/>
      <c r="L14" s="1"/>
      <c r="M14" s="1"/>
      <c r="N14" s="1"/>
      <c r="O14" s="5"/>
      <c r="P14" s="5"/>
    </row>
    <row r="15" spans="3:16" x14ac:dyDescent="0.3">
      <c r="C15" s="6"/>
      <c r="D15" s="4" t="s">
        <v>7</v>
      </c>
      <c r="E15" s="4"/>
      <c r="F15" s="4">
        <f>SUM(F4:F13)</f>
        <v>17</v>
      </c>
      <c r="G15" s="4"/>
      <c r="H15" s="4">
        <f>SUM(H4:H13)</f>
        <v>58</v>
      </c>
      <c r="I15" s="3"/>
      <c r="J15" s="3"/>
      <c r="K15" s="6"/>
      <c r="L15" s="4" t="s">
        <v>7</v>
      </c>
      <c r="M15" s="4"/>
      <c r="N15" s="4">
        <f>SUM(N4:N13)</f>
        <v>24</v>
      </c>
      <c r="O15" s="7"/>
      <c r="P15" s="4">
        <f>SUM(P4:P13)</f>
        <v>102</v>
      </c>
    </row>
    <row r="16" spans="3:16" ht="18" x14ac:dyDescent="0.35">
      <c r="C16" s="6"/>
      <c r="D16" s="8" t="s">
        <v>12</v>
      </c>
      <c r="E16" s="8"/>
      <c r="F16" s="9">
        <f>H15/F15</f>
        <v>3.4117647058823528</v>
      </c>
      <c r="G16" s="6"/>
      <c r="H16" s="6"/>
      <c r="I16" s="3"/>
      <c r="J16" s="3"/>
      <c r="K16" s="6"/>
      <c r="L16" s="10" t="s">
        <v>12</v>
      </c>
      <c r="M16" s="10"/>
      <c r="N16" s="11">
        <f>P15/N15</f>
        <v>4.25</v>
      </c>
      <c r="O16" s="6"/>
      <c r="P16" s="6"/>
    </row>
    <row r="17" spans="3:16" x14ac:dyDescent="0.3">
      <c r="C17" s="6"/>
      <c r="D17" s="6"/>
      <c r="E17" s="6"/>
      <c r="F17" s="6"/>
      <c r="G17" s="6"/>
      <c r="H17" s="6"/>
      <c r="I17" s="3"/>
      <c r="J17" s="3"/>
      <c r="K17" s="6"/>
      <c r="L17" s="6"/>
      <c r="M17" s="6"/>
      <c r="N17" s="6"/>
      <c r="O17" s="6"/>
      <c r="P17" s="6"/>
    </row>
    <row r="18" spans="3:16" x14ac:dyDescent="0.3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3:16" ht="15.6" x14ac:dyDescent="0.3">
      <c r="C19" s="6"/>
      <c r="D19" s="6"/>
      <c r="E19" s="6"/>
      <c r="F19" s="6"/>
      <c r="G19" s="12" t="s">
        <v>8</v>
      </c>
      <c r="H19" s="13">
        <f>SUM(F16+N16)/2</f>
        <v>3.8308823529411766</v>
      </c>
      <c r="I19" s="6"/>
      <c r="J19" s="6"/>
      <c r="K19" s="6"/>
      <c r="L19" s="6"/>
      <c r="M19" s="6"/>
      <c r="N19" s="6"/>
      <c r="O19" s="6"/>
      <c r="P19" s="6"/>
    </row>
    <row r="20" spans="3:16" x14ac:dyDescent="0.3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3:16" x14ac:dyDescent="0.3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sheetProtection sheet="1" objects="1" scenarios="1"/>
  <mergeCells count="3">
    <mergeCell ref="C2:H2"/>
    <mergeCell ref="K2:P2"/>
    <mergeCell ref="C1:P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Skynet</dc:creator>
  <cp:lastModifiedBy>Ikechukwu Suame</cp:lastModifiedBy>
  <dcterms:created xsi:type="dcterms:W3CDTF">2022-04-12T10:23:41Z</dcterms:created>
  <dcterms:modified xsi:type="dcterms:W3CDTF">2024-04-27T11:39:15Z</dcterms:modified>
</cp:coreProperties>
</file>